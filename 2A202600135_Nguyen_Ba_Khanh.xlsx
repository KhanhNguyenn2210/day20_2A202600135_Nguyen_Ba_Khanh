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K:\VIN_AI\Buoi_18\day18_2A202600135_Nguyen_Ba_Khanh\"/>
    </mc:Choice>
  </mc:AlternateContent>
  <xr:revisionPtr revIDLastSave="0" documentId="13_ncr:1_{A66744D1-9699-4977-8AF7-3F949F6EE945}" xr6:coauthVersionLast="47" xr6:coauthVersionMax="47" xr10:uidLastSave="{00000000-0000-0000-0000-000000000000}"/>
  <bookViews>
    <workbookView xWindow="-120" yWindow="-120" windowWidth="29040" windowHeight="15720" tabRatio="500" xr2:uid="{00000000-000D-0000-FFFF-FFFF00000000}"/>
  </bookViews>
  <sheets>
    <sheet name="1. Assumptions" sheetId="1" r:id="rId1"/>
    <sheet name="2. Unit Economics" sheetId="2" r:id="rId2"/>
    <sheet name="3. P&amp;L &amp; ROI"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8" i="1" l="1"/>
  <c r="D40" i="3"/>
  <c r="D39" i="3"/>
  <c r="D37" i="3"/>
  <c r="C6" i="3"/>
  <c r="C10" i="3" s="1"/>
  <c r="E18" i="2"/>
  <c r="D18" i="2"/>
  <c r="C18" i="2"/>
  <c r="E8" i="2"/>
  <c r="D8" i="2"/>
  <c r="C8" i="2"/>
  <c r="E36" i="1"/>
  <c r="D36" i="1"/>
  <c r="C36" i="1"/>
  <c r="E28" i="1"/>
  <c r="C28" i="1"/>
  <c r="E19" i="1"/>
  <c r="E14" i="2" s="1"/>
  <c r="D19" i="1"/>
  <c r="D14" i="2" s="1"/>
  <c r="C19" i="1"/>
  <c r="C14" i="2" s="1"/>
  <c r="E15" i="1"/>
  <c r="E9" i="2" s="1"/>
  <c r="D15" i="1"/>
  <c r="D9" i="2" s="1"/>
  <c r="C15" i="1"/>
  <c r="C9" i="2" s="1"/>
  <c r="C15" i="3" l="1"/>
  <c r="C16" i="3"/>
  <c r="C10" i="2"/>
  <c r="C22" i="2" s="1"/>
  <c r="D10" i="2"/>
  <c r="D22" i="2" s="1"/>
  <c r="E10" i="2"/>
  <c r="E22" i="2" s="1"/>
  <c r="C8" i="3"/>
  <c r="C11" i="3"/>
  <c r="C12" i="3"/>
  <c r="C13" i="3"/>
  <c r="C14" i="3"/>
  <c r="C17" i="3"/>
  <c r="D38" i="3"/>
  <c r="C9" i="3"/>
  <c r="Y22" i="3" s="1"/>
  <c r="H29" i="3" l="1"/>
  <c r="C29" i="3"/>
  <c r="Y28" i="3"/>
  <c r="V22" i="3"/>
  <c r="V28" i="3" s="1"/>
  <c r="K22" i="3"/>
  <c r="K28" i="3" s="1"/>
  <c r="W22" i="3"/>
  <c r="W28" i="3" s="1"/>
  <c r="L22" i="3"/>
  <c r="L28" i="3" s="1"/>
  <c r="Q22" i="3"/>
  <c r="Q28" i="3" s="1"/>
  <c r="G22" i="3"/>
  <c r="G28" i="3" s="1"/>
  <c r="S22" i="3"/>
  <c r="S28" i="3" s="1"/>
  <c r="X22" i="3"/>
  <c r="X28" i="3" s="1"/>
  <c r="Z29" i="3"/>
  <c r="N29" i="3"/>
  <c r="Y29" i="3"/>
  <c r="M29" i="3"/>
  <c r="W29" i="3"/>
  <c r="K29" i="3"/>
  <c r="U29" i="3"/>
  <c r="I29" i="3"/>
  <c r="S29" i="3"/>
  <c r="G29" i="3"/>
  <c r="R29" i="3"/>
  <c r="F29" i="3"/>
  <c r="Q29" i="3"/>
  <c r="E29" i="3"/>
  <c r="P29" i="3"/>
  <c r="D29" i="3"/>
  <c r="O29" i="3"/>
  <c r="X29" i="3"/>
  <c r="L29" i="3"/>
  <c r="V29" i="3"/>
  <c r="J29" i="3"/>
  <c r="T29" i="3"/>
  <c r="N22" i="3"/>
  <c r="N28" i="3" s="1"/>
  <c r="H22" i="3"/>
  <c r="H28" i="3" s="1"/>
  <c r="D22" i="3"/>
  <c r="D28" i="3" s="1"/>
  <c r="D15" i="2"/>
  <c r="D21" i="2" s="1"/>
  <c r="D25" i="2" s="1"/>
  <c r="D11" i="2"/>
  <c r="F22" i="3"/>
  <c r="F28" i="3" s="1"/>
  <c r="C22" i="3"/>
  <c r="C28" i="3" s="1"/>
  <c r="O22" i="3"/>
  <c r="O28" i="3" s="1"/>
  <c r="Z22" i="3"/>
  <c r="Z28" i="3" s="1"/>
  <c r="E11" i="2"/>
  <c r="E15" i="2"/>
  <c r="E21" i="2" s="1"/>
  <c r="E25" i="2" s="1"/>
  <c r="T22" i="3"/>
  <c r="T28" i="3" s="1"/>
  <c r="P22" i="3"/>
  <c r="P28" i="3" s="1"/>
  <c r="C11" i="2"/>
  <c r="C15" i="2"/>
  <c r="C21" i="2" s="1"/>
  <c r="C25" i="2" s="1"/>
  <c r="I22" i="3"/>
  <c r="I28" i="3" s="1"/>
  <c r="M22" i="3"/>
  <c r="M28" i="3" s="1"/>
  <c r="U22" i="3"/>
  <c r="U28" i="3" s="1"/>
  <c r="R22" i="3"/>
  <c r="R28" i="3" s="1"/>
  <c r="J22" i="3"/>
  <c r="J28" i="3" s="1"/>
  <c r="E22" i="3"/>
  <c r="E28" i="3" s="1"/>
  <c r="AA28" i="3" l="1"/>
  <c r="C23" i="3"/>
  <c r="AA22" i="3"/>
  <c r="AA29" i="3"/>
  <c r="C26" i="3" l="1"/>
  <c r="C25" i="3"/>
  <c r="D23" i="3"/>
  <c r="D26" i="3" s="1"/>
  <c r="C27" i="3" l="1"/>
  <c r="D25" i="3"/>
  <c r="E23" i="3"/>
  <c r="E26" i="3" l="1"/>
  <c r="F23" i="3"/>
  <c r="E25" i="3"/>
  <c r="D27" i="3"/>
  <c r="D30" i="3" s="1"/>
  <c r="D32" i="3" s="1"/>
  <c r="C30" i="3"/>
  <c r="E27" i="3" l="1"/>
  <c r="E30" i="3" s="1"/>
  <c r="F25" i="3"/>
  <c r="F26" i="3"/>
  <c r="G23" i="3"/>
  <c r="C32" i="3"/>
  <c r="C33" i="3" l="1"/>
  <c r="E32" i="3"/>
  <c r="F27" i="3"/>
  <c r="C41" i="3"/>
  <c r="G26" i="3"/>
  <c r="H23" i="3"/>
  <c r="G25" i="3"/>
  <c r="G27" i="3" l="1"/>
  <c r="G30" i="3" s="1"/>
  <c r="G32" i="3" s="1"/>
  <c r="H26" i="3"/>
  <c r="I23" i="3"/>
  <c r="H25" i="3"/>
  <c r="D33" i="3"/>
  <c r="E33" i="3" s="1"/>
  <c r="D41" i="3"/>
  <c r="E41" i="3" s="1"/>
  <c r="F30" i="3"/>
  <c r="H27" i="3" l="1"/>
  <c r="I26" i="3"/>
  <c r="J23" i="3"/>
  <c r="I25" i="3"/>
  <c r="F32" i="3"/>
  <c r="F41" i="3" l="1"/>
  <c r="G41" i="3" s="1"/>
  <c r="I27" i="3"/>
  <c r="I30" i="3" s="1"/>
  <c r="I32" i="3" s="1"/>
  <c r="J26" i="3"/>
  <c r="K23" i="3"/>
  <c r="J25" i="3"/>
  <c r="H30" i="3"/>
  <c r="F33" i="3"/>
  <c r="J27" i="3" l="1"/>
  <c r="J30" i="3" s="1"/>
  <c r="J32" i="3" s="1"/>
  <c r="H32" i="3"/>
  <c r="K25" i="3"/>
  <c r="K26" i="3"/>
  <c r="L23" i="3"/>
  <c r="G33" i="3"/>
  <c r="H41" i="3" l="1"/>
  <c r="I41" i="3" s="1"/>
  <c r="J41" i="3" s="1"/>
  <c r="H33" i="3"/>
  <c r="I33" i="3" s="1"/>
  <c r="J33" i="3" s="1"/>
  <c r="K27" i="3"/>
  <c r="L26" i="3"/>
  <c r="M23" i="3"/>
  <c r="L25" i="3"/>
  <c r="L27" i="3" l="1"/>
  <c r="L30" i="3" s="1"/>
  <c r="L32" i="3" s="1"/>
  <c r="M25" i="3"/>
  <c r="M26" i="3"/>
  <c r="N23" i="3"/>
  <c r="K30" i="3"/>
  <c r="M27" i="3" l="1"/>
  <c r="M30" i="3" s="1"/>
  <c r="M32" i="3" s="1"/>
  <c r="K32" i="3"/>
  <c r="N26" i="3"/>
  <c r="O23" i="3"/>
  <c r="N25" i="3"/>
  <c r="N27" i="3" l="1"/>
  <c r="N30" i="3" s="1"/>
  <c r="N32" i="3" s="1"/>
  <c r="O26" i="3"/>
  <c r="P23" i="3"/>
  <c r="O25" i="3"/>
  <c r="K33" i="3"/>
  <c r="K41" i="3"/>
  <c r="L41" i="3" s="1"/>
  <c r="M41" i="3" s="1"/>
  <c r="N41" i="3" l="1"/>
  <c r="L33" i="3"/>
  <c r="M33" i="3" s="1"/>
  <c r="N33" i="3" s="1"/>
  <c r="O27" i="3"/>
  <c r="O30" i="3" s="1"/>
  <c r="O32" i="3" s="1"/>
  <c r="P26" i="3"/>
  <c r="Q23" i="3"/>
  <c r="P25" i="3"/>
  <c r="O41" i="3" l="1"/>
  <c r="P27" i="3"/>
  <c r="P30" i="3" s="1"/>
  <c r="P32" i="3" s="1"/>
  <c r="Q26" i="3"/>
  <c r="R23" i="3"/>
  <c r="Q25" i="3"/>
  <c r="O33" i="3"/>
  <c r="P41" i="3" l="1"/>
  <c r="Q27" i="3"/>
  <c r="Q30" i="3" s="1"/>
  <c r="Q32" i="3" s="1"/>
  <c r="P33" i="3"/>
  <c r="R25" i="3"/>
  <c r="R26" i="3"/>
  <c r="S23" i="3"/>
  <c r="Q41" i="3" l="1"/>
  <c r="Q33" i="3"/>
  <c r="S26" i="3"/>
  <c r="T23" i="3"/>
  <c r="S25" i="3"/>
  <c r="R27" i="3"/>
  <c r="R30" i="3" s="1"/>
  <c r="R32" i="3" s="1"/>
  <c r="R41" i="3" l="1"/>
  <c r="R33" i="3"/>
  <c r="S27" i="3"/>
  <c r="S30" i="3" s="1"/>
  <c r="S32" i="3" s="1"/>
  <c r="T26" i="3"/>
  <c r="U23" i="3"/>
  <c r="T25" i="3"/>
  <c r="S41" i="3" l="1"/>
  <c r="T27" i="3"/>
  <c r="T30" i="3" s="1"/>
  <c r="T32" i="3" s="1"/>
  <c r="S33" i="3"/>
  <c r="U26" i="3"/>
  <c r="V23" i="3"/>
  <c r="U25" i="3"/>
  <c r="U27" i="3" s="1"/>
  <c r="U30" i="3" s="1"/>
  <c r="U32" i="3" s="1"/>
  <c r="T41" i="3" l="1"/>
  <c r="U41" i="3" s="1"/>
  <c r="T33" i="3"/>
  <c r="U33" i="3" s="1"/>
  <c r="V26" i="3"/>
  <c r="W23" i="3"/>
  <c r="V25" i="3"/>
  <c r="V27" i="3" l="1"/>
  <c r="V30" i="3" s="1"/>
  <c r="V32" i="3" s="1"/>
  <c r="V41" i="3" s="1"/>
  <c r="W25" i="3"/>
  <c r="W26" i="3"/>
  <c r="X23" i="3"/>
  <c r="V33" i="3" l="1"/>
  <c r="X26" i="3"/>
  <c r="Y23" i="3"/>
  <c r="X25" i="3"/>
  <c r="W27" i="3"/>
  <c r="W30" i="3" s="1"/>
  <c r="W32" i="3" s="1"/>
  <c r="W33" i="3" l="1"/>
  <c r="W41" i="3"/>
  <c r="X27" i="3"/>
  <c r="X30" i="3" s="1"/>
  <c r="X32" i="3" s="1"/>
  <c r="Y25" i="3"/>
  <c r="Y26" i="3"/>
  <c r="Z23" i="3"/>
  <c r="X33" i="3" l="1"/>
  <c r="Z26" i="3"/>
  <c r="AA26" i="3" s="1"/>
  <c r="Z25" i="3"/>
  <c r="Y27" i="3"/>
  <c r="Y30" i="3" s="1"/>
  <c r="Y32" i="3" s="1"/>
  <c r="X41" i="3"/>
  <c r="Y41" i="3" l="1"/>
  <c r="Y33" i="3"/>
  <c r="Z27" i="3"/>
  <c r="AA25" i="3"/>
  <c r="Z30" i="3" l="1"/>
  <c r="AA27" i="3"/>
  <c r="Z32" i="3" l="1"/>
  <c r="AA30" i="3"/>
  <c r="C38" i="3" l="1"/>
  <c r="C37" i="3"/>
  <c r="AA32" i="3"/>
  <c r="Z41" i="3"/>
  <c r="C39" i="3" s="1"/>
  <c r="Z33" i="3"/>
  <c r="C40"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<sst xmlns="http://schemas.openxmlformats.org/spreadsheetml/2006/main" count="153" uniqueCount="137">
  <si>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</si>
  <si>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</si>
  <si>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</si>
  <si>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</si>
  <si>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</si>
  <si>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</si>
  <si>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</si>
  <si>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</si>
  <si>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</si>
  <si>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</si>
  <si>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</si>
  <si>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</si>
  <si>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</si>
  <si>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</si>
  <si>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</si>
  <si>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</si>
  <si>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</si>
  <si>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</si>
  <si>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</si>
  <si>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</si>
  <si>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</si>
  <si>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</si>
  <si>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</si>
  <si>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</si>
  <si>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</si>
  <si>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</si>
  <si>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</si>
  <si>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</si>
  <si>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</si>
  <si>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</si>
  <si>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</si>
  <si>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</si>
  <si>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</si>
  <si>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</si>
  <si>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</si>
  <si>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</si>
  <si>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</si>
  <si>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</si>
  <si>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</si>
  <si>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</si>
  <si>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</si>
  <si>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</si>
  <si>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</si>
  <si>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</si>
  <si>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</si>
  <si>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</si>
  <si>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</si>
  <si>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</si>
  <si>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</si>
  <si>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</si>
  <si>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</si>
  <si>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</si>
  <si>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</si>
  <si>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</si>
  <si>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</si>
  <si>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</si>
  <si>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</si>
  <si>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</si>
  <si>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</si>
  <si>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</si>
  <si>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</si>
  <si>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</si>
  <si>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</si>
  <si>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</si>
  <si>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</si>
  <si>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</si>
  <si>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</si>
  <si>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</si>
  <si>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</si>
  <si>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</si>
  <si>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</si>
  <si>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</si>
  <si>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</si>
  <si>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</si>
  <si>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</si>
  <si>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</si>
  <si>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</si>
  <si>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</si>
  <si>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</si>
  <si>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</si>
  <si>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</si>
  <si>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</si>
  <si>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</si>
  <si>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</si>
  <si>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</si>
  <si>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</si>
  <si>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</si>
  <si>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</si>
  <si>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</si>
  <si>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</si>
  <si>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</si>
  <si>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</si>
  <si>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</si>
  <si>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</si>
  <si>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</si>
  <si>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</si>
  <si>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</si>
  <si>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</si>
  <si>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</si>
  <si>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</si>
  <si>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</si>
  <si>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</si>
  <si>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</si>
  <si>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</si>
  <si>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</si>
  <si>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</si>
  <si>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</si>
  <si>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</si>
  <si>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</si>
  <si>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</si>
  <si>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</si>
  <si>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</si>
  <si>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</si>
  <si>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</si>
  <si>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</si>
  <si>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</si>
  <si>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</si>
  <si>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</si>
  <si>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</si>
  <si>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</si>
  <si>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</si>
  <si>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</si>
  <si>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</si>
  <si>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</si>
  <si>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</si>
  <si>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</si>
  <si>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</si>
  <si>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</si>
  <si>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</si>
  <si>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</si>
  <si>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</si>
  <si>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</si>
  <si>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</si>
  <si>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</si>
  <si>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</si>
  <si>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</si>
  <si>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Tại sao bạn chọn mức ARPU và CAC như trên? Logic gì để bảo vệ những con số này trước nhà đầu tư? Viết 2-3 câu…
Mức ARPU 159.000 VNĐ được xác định dựa trên khảo sát khả năng chi trả của nhóm khách hàng mục tiêu (freelancer tại Việt Nam ) và thấp hơn 30% so với các công cụ AI quốc tế tương đương, nhằm ưu tiên chiếm lĩnh thị phần  trong giai đoạn đầu
CAC 600.000 VNĐ được tính toán dựa trên mức chi phí quảng cáo trung bình (Facebook/Google Ads) trong ngành phần mềm là 15.000 - 20.000 VNĐ/lead với tỷ lệ chuyển đổi từ dùng thử sang trả phí dự kiến đạt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</si>
</sst>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0"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3">
    <xf numFmtId="0" fontId="0" fillId="0" borderId="0" xfId="0"/>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19" fillId="0" borderId="0" xfId="0" applyFont="1" applyAlignment="1">
      <alignment horizontal="left" vertical="center"/>
    </xf>
  </cellXfs>
  <cellStyles count="1">
    <cellStyle name="Normal" xfId="0" builtinId="0"/>
  </cellStyles>
  <dxfs count="12">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Normal="100" workbookViewId="0">
      <pane ySplit="5" topLeftCell="A6" activePane="bottomLeft" state="frozen"/>
      <selection pane="bottomLeft" activeCell="F22" sqref="F22"/>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0" t="s">
        <v>0</v>
      </c>
      <c r="C2" s="50"/>
      <c r="D2" s="50"/>
      <c r="E2" s="50"/>
      <c r="F2" s="50"/>
    </row>
    <row r="3" spans="2:7" ht="19.5" customHeight="1" x14ac:dyDescent="0.25">
      <c r="B3" s="51" t="s">
        <v>1</v>
      </c>
      <c r="C3" s="51"/>
      <c r="D3" s="51"/>
      <c r="E3" s="51"/>
      <c r="F3" s="51"/>
      <c r="G3" s="51"/>
    </row>
    <row r="5" spans="2:7" x14ac:dyDescent="0.25">
      <c r="B5" s="49" t="s">
        <v>2</v>
      </c>
      <c r="C5" s="49"/>
      <c r="D5" s="49"/>
      <c r="E5" s="49"/>
      <c r="F5" s="49"/>
    </row>
    <row r="6" spans="2:7" x14ac:dyDescent="0.25">
      <c r="C6" s="2" t="s">
        <v>3</v>
      </c>
      <c r="D6" s="3" t="s">
        <v>4</v>
      </c>
      <c r="E6" s="4" t="s">
        <v>5</v>
      </c>
      <c r="F6" s="5" t="s">
        <v>6</v>
      </c>
      <c r="G6" s="6" t="s">
        <v>7</v>
      </c>
    </row>
    <row r="7" spans="2:7" x14ac:dyDescent="0.25">
      <c r="B7" s="7" t="s">
        <v>8</v>
      </c>
      <c r="C7" s="8">
        <v>259000</v>
      </c>
      <c r="D7" s="8">
        <v>199000</v>
      </c>
      <c r="E7" s="8">
        <v>109000</v>
      </c>
      <c r="F7" s="9" t="s">
        <v>9</v>
      </c>
      <c r="G7" s="1" t="s">
        <v>10</v>
      </c>
    </row>
    <row r="8" spans="2:7" x14ac:dyDescent="0.25">
      <c r="B8" s="7" t="s">
        <v>11</v>
      </c>
      <c r="C8" s="10">
        <v>0.02</v>
      </c>
      <c r="D8" s="10">
        <v>7.0000000000000001E-3</v>
      </c>
      <c r="E8" s="10">
        <v>5.0000000000000001E-3</v>
      </c>
      <c r="F8" s="9" t="s">
        <v>12</v>
      </c>
      <c r="G8" s="1" t="s">
        <v>13</v>
      </c>
    </row>
    <row r="9" spans="2:7" x14ac:dyDescent="0.25">
      <c r="B9" s="7" t="s">
        <v>14</v>
      </c>
      <c r="C9" s="8">
        <v>150000</v>
      </c>
      <c r="D9" s="8">
        <v>100000</v>
      </c>
      <c r="E9" s="8">
        <v>50000</v>
      </c>
      <c r="F9" s="9" t="s">
        <v>15</v>
      </c>
      <c r="G9" s="1" t="s">
        <v>16</v>
      </c>
    </row>
    <row r="11" spans="2:7" x14ac:dyDescent="0.25">
      <c r="B11" s="49" t="s">
        <v>17</v>
      </c>
      <c r="C11" s="49"/>
      <c r="D11" s="49"/>
      <c r="E11" s="49"/>
      <c r="F11" s="49"/>
    </row>
    <row r="12" spans="2:7" x14ac:dyDescent="0.25">
      <c r="B12" s="7" t="s">
        <v>18</v>
      </c>
      <c r="C12" s="8">
        <v>10000</v>
      </c>
      <c r="D12" s="8">
        <v>20000</v>
      </c>
      <c r="E12" s="8">
        <v>30000</v>
      </c>
      <c r="F12" s="9" t="s">
        <v>9</v>
      </c>
      <c r="G12" s="1" t="s">
        <v>19</v>
      </c>
    </row>
    <row r="13" spans="2:7" x14ac:dyDescent="0.25">
      <c r="B13" s="7" t="s">
        <v>20</v>
      </c>
      <c r="C13" s="8">
        <v>20000</v>
      </c>
      <c r="D13" s="8">
        <v>25000</v>
      </c>
      <c r="E13" s="8">
        <v>30000</v>
      </c>
      <c r="F13" s="9" t="s">
        <v>9</v>
      </c>
      <c r="G13" s="1" t="s">
        <v>21</v>
      </c>
    </row>
    <row r="14" spans="2:7" x14ac:dyDescent="0.25">
      <c r="B14" s="7" t="s">
        <v>22</v>
      </c>
      <c r="C14" s="8">
        <v>10000</v>
      </c>
      <c r="D14" s="8">
        <v>15000</v>
      </c>
      <c r="E14" s="8">
        <v>20000</v>
      </c>
      <c r="F14" s="9" t="s">
        <v>9</v>
      </c>
      <c r="G14" s="1" t="s">
        <v>23</v>
      </c>
    </row>
    <row r="15" spans="2:7" x14ac:dyDescent="0.25">
      <c r="B15" s="11" t="s">
        <v>24</v>
      </c>
      <c r="C15" s="12">
        <f>C12+C13+C14</f>
        <v>40000</v>
      </c>
      <c r="D15" s="12">
        <f>D12+D13+D14</f>
        <v>60000</v>
      </c>
      <c r="E15" s="12">
        <f>E12+E13+E14</f>
        <v>80000</v>
      </c>
      <c r="F15" s="13"/>
    </row>
    <row r="17" spans="2:7" x14ac:dyDescent="0.25">
      <c r="B17" s="49" t="s">
        <v>25</v>
      </c>
      <c r="C17" s="49"/>
      <c r="D17" s="49"/>
      <c r="E17" s="49"/>
      <c r="F17" s="49"/>
    </row>
    <row r="18" spans="2:7" x14ac:dyDescent="0.25">
      <c r="B18" s="7" t="s">
        <v>26</v>
      </c>
      <c r="C18" s="10">
        <v>0.02</v>
      </c>
      <c r="D18" s="10">
        <v>0.06</v>
      </c>
      <c r="E18" s="10">
        <v>7.0000000000000007E-2</v>
      </c>
      <c r="F18" s="9" t="s">
        <v>27</v>
      </c>
      <c r="G18" s="1" t="s">
        <v>28</v>
      </c>
    </row>
    <row r="19" spans="2:7" x14ac:dyDescent="0.25">
      <c r="B19" s="14" t="s">
        <v>29</v>
      </c>
      <c r="C19" s="15">
        <f>IFERROR(1/C18,0)</f>
        <v>50</v>
      </c>
      <c r="D19" s="15">
        <f>IFERROR(1/D18,0)</f>
        <v>16.666666666666668</v>
      </c>
      <c r="E19" s="15">
        <f>IFERROR(1/E18,0)</f>
        <v>14.285714285714285</v>
      </c>
      <c r="F19" s="16"/>
    </row>
    <row r="21" spans="2:7" x14ac:dyDescent="0.25">
      <c r="B21" s="49" t="s">
        <v>30</v>
      </c>
      <c r="C21" s="49"/>
      <c r="D21" s="49"/>
      <c r="E21" s="49"/>
      <c r="F21" s="49"/>
    </row>
    <row r="22" spans="2:7" x14ac:dyDescent="0.25">
      <c r="B22" s="7" t="s">
        <v>31</v>
      </c>
      <c r="C22" s="8">
        <v>200000</v>
      </c>
      <c r="D22" s="8">
        <v>350000</v>
      </c>
      <c r="E22" s="8">
        <v>450000</v>
      </c>
      <c r="F22" s="9" t="s">
        <v>9</v>
      </c>
      <c r="G22" s="1" t="s">
        <v>32</v>
      </c>
    </row>
    <row r="24" spans="2:7" x14ac:dyDescent="0.25">
      <c r="B24" s="49" t="s">
        <v>33</v>
      </c>
      <c r="C24" s="49"/>
      <c r="D24" s="49"/>
      <c r="E24" s="49"/>
      <c r="F24" s="49"/>
    </row>
    <row r="25" spans="2:7" x14ac:dyDescent="0.25">
      <c r="B25" s="7" t="s">
        <v>34</v>
      </c>
      <c r="C25" s="8">
        <v>40000000</v>
      </c>
      <c r="D25" s="8">
        <v>50000000</v>
      </c>
      <c r="E25" s="8">
        <v>60000000</v>
      </c>
      <c r="F25" s="9" t="s">
        <v>35</v>
      </c>
      <c r="G25" s="1" t="s">
        <v>36</v>
      </c>
    </row>
    <row r="26" spans="2:7" x14ac:dyDescent="0.25">
      <c r="B26" s="7" t="s">
        <v>37</v>
      </c>
      <c r="C26" s="8">
        <v>4000000</v>
      </c>
      <c r="D26" s="8">
        <v>7000000</v>
      </c>
      <c r="E26" s="8">
        <v>10000000</v>
      </c>
      <c r="F26" s="9" t="s">
        <v>35</v>
      </c>
    </row>
    <row r="27" spans="2:7" x14ac:dyDescent="0.25">
      <c r="B27" s="7" t="s">
        <v>38</v>
      </c>
      <c r="C27" s="8">
        <v>5000000</v>
      </c>
      <c r="D27" s="8">
        <v>8000000</v>
      </c>
      <c r="E27" s="8">
        <v>10000000</v>
      </c>
      <c r="F27" s="9" t="s">
        <v>35</v>
      </c>
    </row>
    <row r="28" spans="2:7" x14ac:dyDescent="0.25">
      <c r="B28" s="14" t="s">
        <v>39</v>
      </c>
      <c r="C28" s="17">
        <f>SUM(C25:C27)</f>
        <v>49000000</v>
      </c>
      <c r="D28" s="17">
        <f>SUM(D25:D27)</f>
        <v>65000000</v>
      </c>
      <c r="E28" s="17">
        <f>SUM(E25:E27)</f>
        <v>80000000</v>
      </c>
      <c r="F28" s="16"/>
    </row>
    <row r="30" spans="2:7" x14ac:dyDescent="0.25">
      <c r="B30" s="49" t="s">
        <v>40</v>
      </c>
      <c r="C30" s="49"/>
      <c r="D30" s="49"/>
      <c r="E30" s="49"/>
      <c r="F30" s="49"/>
    </row>
    <row r="31" spans="2:7" x14ac:dyDescent="0.25">
      <c r="B31" s="7" t="s">
        <v>41</v>
      </c>
      <c r="C31" s="8">
        <v>250000000</v>
      </c>
      <c r="D31" s="8">
        <v>250000000</v>
      </c>
      <c r="E31" s="8">
        <v>250000000</v>
      </c>
      <c r="F31" s="9" t="s">
        <v>9</v>
      </c>
      <c r="G31" s="1" t="s">
        <v>42</v>
      </c>
    </row>
    <row r="32" spans="2:7" x14ac:dyDescent="0.25">
      <c r="B32" s="7" t="s">
        <v>43</v>
      </c>
      <c r="C32" s="8">
        <v>650000000</v>
      </c>
      <c r="D32" s="8">
        <v>650000000</v>
      </c>
      <c r="E32" s="8">
        <v>650000000</v>
      </c>
      <c r="F32" s="9" t="s">
        <v>9</v>
      </c>
      <c r="G32" s="1" t="s">
        <v>44</v>
      </c>
    </row>
    <row r="34" spans="2:7" x14ac:dyDescent="0.25">
      <c r="B34" s="49" t="s">
        <v>45</v>
      </c>
      <c r="C34" s="49"/>
      <c r="D34" s="49"/>
      <c r="E34" s="49"/>
      <c r="F34" s="49"/>
    </row>
    <row r="35" spans="2:7" x14ac:dyDescent="0.25">
      <c r="B35" s="7" t="s">
        <v>46</v>
      </c>
      <c r="C35" s="10">
        <v>0.1</v>
      </c>
      <c r="D35" s="10">
        <v>0.25</v>
      </c>
      <c r="E35" s="10">
        <v>0.3</v>
      </c>
      <c r="F35" s="9" t="s">
        <v>47</v>
      </c>
      <c r="G35" s="1" t="s">
        <v>48</v>
      </c>
    </row>
    <row r="36" spans="2:7" x14ac:dyDescent="0.25">
      <c r="B36" s="14" t="s">
        <v>49</v>
      </c>
      <c r="C36" s="18">
        <f>(1+C35)^(1/12)-1</f>
        <v>7.9741404289037643E-3</v>
      </c>
      <c r="D36" s="18">
        <f>(1+D35)^(1/12)-1</f>
        <v>1.8769265121506118E-2</v>
      </c>
      <c r="E36" s="18">
        <f>(1+E35)^(1/12)-1</f>
        <v>2.2104450593615876E-2</v>
      </c>
      <c r="F36" s="16"/>
    </row>
    <row r="38" spans="2:7" x14ac:dyDescent="0.25">
      <c r="B38" s="49" t="s">
        <v>50</v>
      </c>
      <c r="C38" s="49"/>
      <c r="D38" s="49"/>
      <c r="E38" s="49"/>
      <c r="F38" s="49"/>
    </row>
    <row r="39" spans="2:7" ht="24.75" customHeight="1" x14ac:dyDescent="0.25">
      <c r="B39" s="48" t="s">
        <v>136</v>
      </c>
      <c r="C39" s="48"/>
      <c r="D39" s="48"/>
      <c r="E39" s="48"/>
      <c r="F39" s="48"/>
    </row>
    <row r="40" spans="2:7" ht="24.75" customHeight="1" x14ac:dyDescent="0.25">
      <c r="B40" s="48"/>
      <c r="C40" s="48"/>
      <c r="D40" s="48"/>
      <c r="E40" s="48"/>
      <c r="F40" s="48"/>
    </row>
    <row r="41" spans="2:7" ht="24.75" customHeight="1" x14ac:dyDescent="0.25">
      <c r="B41" s="48"/>
      <c r="C41" s="48"/>
      <c r="D41" s="48"/>
      <c r="E41" s="48"/>
      <c r="F41" s="48"/>
    </row>
  </sheetData>
  <mergeCells count="11">
    <mergeCell ref="B2:F2"/>
    <mergeCell ref="B3:G3"/>
    <mergeCell ref="B5:F5"/>
    <mergeCell ref="B11:F11"/>
    <mergeCell ref="B17:F17"/>
    <mergeCell ref="B39:F41"/>
    <mergeCell ref="B21:F21"/>
    <mergeCell ref="B24:F24"/>
    <mergeCell ref="B30:F30"/>
    <mergeCell ref="B34:F34"/>
    <mergeCell ref="B38:F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6" activePane="bottomLeft" state="frozen"/>
      <selection pane="bottomLeft" activeCell="G25" sqref="G25"/>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0" t="s">
        <v>51</v>
      </c>
      <c r="C2" s="50"/>
      <c r="D2" s="50"/>
      <c r="E2" s="50"/>
      <c r="F2" s="50"/>
    </row>
    <row r="3" spans="2:7" ht="19.5" customHeight="1" x14ac:dyDescent="0.25">
      <c r="B3" s="51" t="s">
        <v>52</v>
      </c>
      <c r="C3" s="51"/>
      <c r="D3" s="51"/>
      <c r="E3" s="51"/>
      <c r="F3" s="51"/>
      <c r="G3" s="51"/>
    </row>
    <row r="5" spans="2:7" x14ac:dyDescent="0.25">
      <c r="B5" s="6" t="s">
        <v>53</v>
      </c>
      <c r="C5" s="2" t="s">
        <v>3</v>
      </c>
      <c r="D5" s="3" t="s">
        <v>4</v>
      </c>
      <c r="E5" s="4" t="s">
        <v>5</v>
      </c>
      <c r="F5" s="5" t="s">
        <v>6</v>
      </c>
      <c r="G5" s="6" t="s">
        <v>54</v>
      </c>
    </row>
    <row r="7" spans="2:7" x14ac:dyDescent="0.25">
      <c r="B7" s="49" t="s">
        <v>55</v>
      </c>
      <c r="C7" s="49"/>
      <c r="D7" s="49"/>
      <c r="E7" s="49"/>
      <c r="F7" s="49"/>
    </row>
    <row r="8" spans="2:7" x14ac:dyDescent="0.25">
      <c r="B8" s="7" t="s">
        <v>56</v>
      </c>
      <c r="C8" s="19">
        <f>'1. Assumptions'!C7</f>
        <v>259000</v>
      </c>
      <c r="D8" s="19">
        <f>'1. Assumptions'!D7</f>
        <v>199000</v>
      </c>
      <c r="E8" s="19">
        <f>'1. Assumptions'!E7</f>
        <v>109000</v>
      </c>
      <c r="F8" s="9" t="s">
        <v>9</v>
      </c>
      <c r="G8" s="1" t="s">
        <v>57</v>
      </c>
    </row>
    <row r="9" spans="2:7" x14ac:dyDescent="0.25">
      <c r="B9" s="7" t="s">
        <v>58</v>
      </c>
      <c r="C9" s="19">
        <f>'1. Assumptions'!C15</f>
        <v>40000</v>
      </c>
      <c r="D9" s="19">
        <f>'1. Assumptions'!D15</f>
        <v>60000</v>
      </c>
      <c r="E9" s="19">
        <f>'1. Assumptions'!E15</f>
        <v>80000</v>
      </c>
      <c r="F9" s="9" t="s">
        <v>9</v>
      </c>
    </row>
    <row r="10" spans="2:7" x14ac:dyDescent="0.25">
      <c r="B10" s="14" t="s">
        <v>59</v>
      </c>
      <c r="C10" s="17">
        <f>C8-C9</f>
        <v>219000</v>
      </c>
      <c r="D10" s="17">
        <f>D8-D9</f>
        <v>139000</v>
      </c>
      <c r="E10" s="17">
        <f>E8-E9</f>
        <v>29000</v>
      </c>
      <c r="F10" s="16"/>
    </row>
    <row r="11" spans="2:7" x14ac:dyDescent="0.25">
      <c r="B11" s="14" t="s">
        <v>60</v>
      </c>
      <c r="C11" s="18">
        <f>IFERROR(C10/C8,0)</f>
        <v>0.84555984555984554</v>
      </c>
      <c r="D11" s="18">
        <f>IFERROR(D10/D8,0)</f>
        <v>0.69849246231155782</v>
      </c>
      <c r="E11" s="18">
        <f>IFERROR(E10/E8,0)</f>
        <v>0.26605504587155965</v>
      </c>
      <c r="F11" s="16"/>
      <c r="G11" s="1" t="s">
        <v>61</v>
      </c>
    </row>
    <row r="13" spans="2:7" x14ac:dyDescent="0.25">
      <c r="B13" s="49" t="s">
        <v>62</v>
      </c>
      <c r="C13" s="49"/>
      <c r="D13" s="49"/>
      <c r="E13" s="49"/>
      <c r="F13" s="49"/>
    </row>
    <row r="14" spans="2:7" x14ac:dyDescent="0.25">
      <c r="B14" s="7" t="s">
        <v>63</v>
      </c>
      <c r="C14" s="20">
        <f>'1. Assumptions'!C19</f>
        <v>50</v>
      </c>
      <c r="D14" s="20">
        <f>'1. Assumptions'!D19</f>
        <v>16.666666666666668</v>
      </c>
      <c r="E14" s="20">
        <f>'1. Assumptions'!E19</f>
        <v>14.285714285714285</v>
      </c>
      <c r="F14" s="9" t="s">
        <v>64</v>
      </c>
    </row>
    <row r="15" spans="2:7" x14ac:dyDescent="0.25">
      <c r="B15" s="14" t="s">
        <v>65</v>
      </c>
      <c r="C15" s="17">
        <f>C10*C14</f>
        <v>10950000</v>
      </c>
      <c r="D15" s="17">
        <f>D10*D14</f>
        <v>2316666.666666667</v>
      </c>
      <c r="E15" s="17">
        <f>E10*E14</f>
        <v>414285.71428571426</v>
      </c>
      <c r="F15" s="16"/>
      <c r="G15" s="1" t="s">
        <v>66</v>
      </c>
    </row>
    <row r="17" spans="2:7" x14ac:dyDescent="0.25">
      <c r="B17" s="49" t="s">
        <v>67</v>
      </c>
      <c r="C17" s="49"/>
      <c r="D17" s="49"/>
      <c r="E17" s="49"/>
      <c r="F17" s="49"/>
    </row>
    <row r="18" spans="2:7" x14ac:dyDescent="0.25">
      <c r="B18" s="7" t="s">
        <v>68</v>
      </c>
      <c r="C18" s="19">
        <f>'1. Assumptions'!C22</f>
        <v>200000</v>
      </c>
      <c r="D18" s="19">
        <f>'1. Assumptions'!D22</f>
        <v>350000</v>
      </c>
      <c r="E18" s="19">
        <f>'1. Assumptions'!E22</f>
        <v>450000</v>
      </c>
      <c r="F18" s="9" t="s">
        <v>9</v>
      </c>
    </row>
    <row r="20" spans="2:7" x14ac:dyDescent="0.25">
      <c r="B20" s="49" t="s">
        <v>69</v>
      </c>
      <c r="C20" s="49"/>
      <c r="D20" s="49"/>
      <c r="E20" s="49"/>
      <c r="F20" s="49"/>
    </row>
    <row r="21" spans="2:7" x14ac:dyDescent="0.25">
      <c r="B21" s="14" t="s">
        <v>70</v>
      </c>
      <c r="C21" s="21">
        <f>IFERROR(C15/C18,0)</f>
        <v>54.75</v>
      </c>
      <c r="D21" s="21">
        <f>IFERROR(D15/D18,0)</f>
        <v>6.6190476190476195</v>
      </c>
      <c r="E21" s="21">
        <f>IFERROR(E15/E18,0)</f>
        <v>0.92063492063492058</v>
      </c>
      <c r="F21" s="16"/>
      <c r="G21" s="1" t="s">
        <v>71</v>
      </c>
    </row>
    <row r="22" spans="2:7" x14ac:dyDescent="0.25">
      <c r="B22" s="14" t="s">
        <v>72</v>
      </c>
      <c r="C22" s="15">
        <f>IFERROR(C18/C10,0)</f>
        <v>0.91324200913242004</v>
      </c>
      <c r="D22" s="15">
        <f>IFERROR(D18/D10,0)</f>
        <v>2.5179856115107913</v>
      </c>
      <c r="E22" s="15">
        <f>IFERROR(E18/E10,0)</f>
        <v>15.517241379310345</v>
      </c>
      <c r="F22" s="16"/>
      <c r="G22" s="1" t="s">
        <v>73</v>
      </c>
    </row>
    <row r="24" spans="2:7" x14ac:dyDescent="0.25">
      <c r="B24" s="49" t="s">
        <v>74</v>
      </c>
      <c r="C24" s="49"/>
      <c r="D24" s="49"/>
      <c r="E24" s="49"/>
      <c r="F24" s="49"/>
    </row>
    <row r="25" spans="2:7" x14ac:dyDescent="0.25">
      <c r="B25" s="6" t="s">
        <v>75</v>
      </c>
      <c r="C25" s="22" t="str">
        <f>IF(AND(C21&gt;=3,C22&lt;=12),"✓ HEALTHY",IF(OR(C21&lt;1,C22&gt;18),"✗ UNHEALTHY","⚠ WATCH"))</f>
        <v>✓ HEALTHY</v>
      </c>
      <c r="D25" s="22" t="str">
        <f>IF(AND(D21&gt;=3,D22&lt;=12),"✓ HEALTHY",IF(OR(D21&lt;1,D22&gt;18),"✗ UNHEALTHY","⚠ WATCH"))</f>
        <v>✓ HEALTHY</v>
      </c>
      <c r="E25" s="22"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28" activePane="bottomRight" state="frozen"/>
      <selection pane="topRight" activeCell="C1" sqref="C1"/>
      <selection pane="bottomLeft" activeCell="A22" sqref="A22"/>
      <selection pane="bottomRight" activeCell="C4" sqref="C4"/>
    </sheetView>
  </sheetViews>
  <sheetFormatPr defaultColWidth="8.7109375" defaultRowHeight="15" x14ac:dyDescent="0.25"/>
  <cols>
    <col min="1" max="1" width="3" customWidth="1"/>
    <col min="2" max="2" width="36" customWidth="1"/>
    <col min="3" max="26" width="13" customWidth="1"/>
    <col min="27" max="27" width="16" customWidth="1"/>
  </cols>
  <sheetData>
    <row r="2" spans="2:8" ht="30" customHeight="1" x14ac:dyDescent="0.25">
      <c r="B2" s="50" t="s">
        <v>76</v>
      </c>
      <c r="C2" s="50"/>
      <c r="D2" s="50"/>
      <c r="E2" s="50"/>
      <c r="F2" s="50"/>
      <c r="G2" s="50"/>
      <c r="H2" s="50"/>
    </row>
    <row r="4" spans="2:8" ht="15" customHeight="1" x14ac:dyDescent="0.25">
      <c r="B4" s="23" t="s">
        <v>77</v>
      </c>
      <c r="C4" s="24" t="s">
        <v>4</v>
      </c>
      <c r="D4" s="51" t="s">
        <v>78</v>
      </c>
      <c r="E4" s="51"/>
      <c r="F4" s="51"/>
      <c r="G4" s="51"/>
      <c r="H4" s="51"/>
    </row>
    <row r="6" spans="2:8" x14ac:dyDescent="0.25">
      <c r="B6" s="25" t="s">
        <v>79</v>
      </c>
      <c r="C6" s="25">
        <f>MATCH(C4,{"Optimistic","Base","Pessimistic"},0)</f>
        <v>2</v>
      </c>
    </row>
    <row r="7" spans="2:8" x14ac:dyDescent="0.25">
      <c r="B7" s="26" t="s">
        <v>80</v>
      </c>
    </row>
    <row r="8" spans="2:8" x14ac:dyDescent="0.25">
      <c r="B8" s="27" t="s">
        <v>81</v>
      </c>
      <c r="C8" s="28">
        <f>CHOOSE($C$6,'1. Assumptions'!C7,'1. Assumptions'!D7,'1. Assumptions'!E7)</f>
        <v>199000</v>
      </c>
    </row>
    <row r="9" spans="2:8" x14ac:dyDescent="0.25">
      <c r="B9" s="27" t="s">
        <v>82</v>
      </c>
      <c r="C9" s="29">
        <f>CHOOSE($C$6,'1. Assumptions'!C8,'1. Assumptions'!D8,'1. Assumptions'!E8)</f>
        <v>7.0000000000000001E-3</v>
      </c>
    </row>
    <row r="10" spans="2:8" x14ac:dyDescent="0.25">
      <c r="B10" s="27" t="s">
        <v>83</v>
      </c>
      <c r="C10" s="28">
        <f>CHOOSE($C$6,'1. Assumptions'!C9,'1. Assumptions'!D9,'1. Assumptions'!E9)</f>
        <v>100000</v>
      </c>
    </row>
    <row r="11" spans="2:8" x14ac:dyDescent="0.25">
      <c r="B11" s="27" t="s">
        <v>84</v>
      </c>
      <c r="C11" s="28">
        <f>CHOOSE($C$6,'1. Assumptions'!C15,'1. Assumptions'!D15,'1. Assumptions'!E15)</f>
        <v>60000</v>
      </c>
    </row>
    <row r="12" spans="2:8" x14ac:dyDescent="0.25">
      <c r="B12" s="27" t="s">
        <v>85</v>
      </c>
      <c r="C12" s="29">
        <f>CHOOSE($C$6,'1. Assumptions'!C18,'1. Assumptions'!D18,'1. Assumptions'!E18)</f>
        <v>0.06</v>
      </c>
    </row>
    <row r="13" spans="2:8" x14ac:dyDescent="0.25">
      <c r="B13" s="27" t="s">
        <v>86</v>
      </c>
      <c r="C13" s="28">
        <f>CHOOSE($C$6,'1. Assumptions'!C22,'1. Assumptions'!D22,'1. Assumptions'!E22)</f>
        <v>350000</v>
      </c>
    </row>
    <row r="14" spans="2:8" x14ac:dyDescent="0.25">
      <c r="B14" s="27" t="s">
        <v>87</v>
      </c>
      <c r="C14" s="28">
        <f>CHOOSE($C$6,'1. Assumptions'!C28,'1. Assumptions'!D28,'1. Assumptions'!E28)</f>
        <v>65000000</v>
      </c>
    </row>
    <row r="15" spans="2:8" x14ac:dyDescent="0.25">
      <c r="B15" s="27" t="s">
        <v>88</v>
      </c>
      <c r="C15" s="28">
        <f>CHOOSE($C$6,'1. Assumptions'!C31,'1. Assumptions'!D31,'1. Assumptions'!E31)</f>
        <v>250000000</v>
      </c>
    </row>
    <row r="16" spans="2:8" x14ac:dyDescent="0.25">
      <c r="B16" s="27" t="s">
        <v>89</v>
      </c>
      <c r="C16" s="28">
        <f>CHOOSE($C$6,'1. Assumptions'!C32,'1. Assumptions'!D32,'1. Assumptions'!E32)</f>
        <v>650000000</v>
      </c>
    </row>
    <row r="17" spans="2:27" x14ac:dyDescent="0.25">
      <c r="B17" s="27" t="s">
        <v>90</v>
      </c>
      <c r="C17" s="29">
        <f>CHOOSE($C$6,'1. Assumptions'!C36,'1. Assumptions'!D36,'1. Assumptions'!E36)</f>
        <v>1.8769265121506118E-2</v>
      </c>
    </row>
    <row r="20" spans="2:27" x14ac:dyDescent="0.25">
      <c r="B20" s="49" t="s">
        <v>91</v>
      </c>
      <c r="C20" s="49"/>
      <c r="D20" s="49"/>
      <c r="E20" s="49"/>
      <c r="F20" s="49"/>
      <c r="G20" s="49"/>
      <c r="H20" s="49"/>
      <c r="I20" s="49"/>
      <c r="J20" s="49"/>
      <c r="K20" s="49"/>
      <c r="L20" s="49"/>
      <c r="M20" s="49"/>
      <c r="N20" s="49"/>
      <c r="O20" s="49"/>
      <c r="P20" s="49"/>
      <c r="Q20" s="49"/>
      <c r="R20" s="49"/>
      <c r="S20" s="49"/>
      <c r="T20" s="49"/>
      <c r="U20" s="49"/>
      <c r="V20" s="49"/>
      <c r="W20" s="49"/>
      <c r="X20" s="49"/>
      <c r="Y20" s="49"/>
      <c r="Z20" s="49"/>
      <c r="AA20" s="49"/>
    </row>
    <row r="21" spans="2:27" x14ac:dyDescent="0.25">
      <c r="B21" s="30" t="s">
        <v>92</v>
      </c>
      <c r="C21" s="31" t="s">
        <v>93</v>
      </c>
      <c r="D21" s="31" t="s">
        <v>94</v>
      </c>
      <c r="E21" s="31" t="s">
        <v>95</v>
      </c>
      <c r="F21" s="31" t="s">
        <v>96</v>
      </c>
      <c r="G21" s="31" t="s">
        <v>97</v>
      </c>
      <c r="H21" s="31" t="s">
        <v>98</v>
      </c>
      <c r="I21" s="31" t="s">
        <v>99</v>
      </c>
      <c r="J21" s="31" t="s">
        <v>100</v>
      </c>
      <c r="K21" s="31" t="s">
        <v>101</v>
      </c>
      <c r="L21" s="31" t="s">
        <v>102</v>
      </c>
      <c r="M21" s="31" t="s">
        <v>103</v>
      </c>
      <c r="N21" s="31" t="s">
        <v>104</v>
      </c>
      <c r="O21" s="31" t="s">
        <v>105</v>
      </c>
      <c r="P21" s="31" t="s">
        <v>106</v>
      </c>
      <c r="Q21" s="31" t="s">
        <v>107</v>
      </c>
      <c r="R21" s="31" t="s">
        <v>108</v>
      </c>
      <c r="S21" s="31" t="s">
        <v>109</v>
      </c>
      <c r="T21" s="31" t="s">
        <v>110</v>
      </c>
      <c r="U21" s="31" t="s">
        <v>111</v>
      </c>
      <c r="V21" s="31" t="s">
        <v>112</v>
      </c>
      <c r="W21" s="31" t="s">
        <v>113</v>
      </c>
      <c r="X21" s="31" t="s">
        <v>114</v>
      </c>
      <c r="Y21" s="31" t="s">
        <v>115</v>
      </c>
      <c r="Z21" s="31" t="s">
        <v>116</v>
      </c>
      <c r="AA21" s="32" t="s">
        <v>117</v>
      </c>
    </row>
    <row r="22" spans="2:27" x14ac:dyDescent="0.25">
      <c r="B22" s="7" t="s">
        <v>118</v>
      </c>
      <c r="C22" s="33">
        <f t="shared" ref="C22:Z22" si="0">ROUND($C$10*$C$9,0)</f>
        <v>700</v>
      </c>
      <c r="D22" s="33">
        <f t="shared" si="0"/>
        <v>700</v>
      </c>
      <c r="E22" s="33">
        <f t="shared" si="0"/>
        <v>700</v>
      </c>
      <c r="F22" s="33">
        <f t="shared" si="0"/>
        <v>700</v>
      </c>
      <c r="G22" s="33">
        <f t="shared" si="0"/>
        <v>700</v>
      </c>
      <c r="H22" s="33">
        <f t="shared" si="0"/>
        <v>700</v>
      </c>
      <c r="I22" s="33">
        <f t="shared" si="0"/>
        <v>700</v>
      </c>
      <c r="J22" s="33">
        <f t="shared" si="0"/>
        <v>700</v>
      </c>
      <c r="K22" s="33">
        <f t="shared" si="0"/>
        <v>700</v>
      </c>
      <c r="L22" s="33">
        <f t="shared" si="0"/>
        <v>700</v>
      </c>
      <c r="M22" s="33">
        <f t="shared" si="0"/>
        <v>700</v>
      </c>
      <c r="N22" s="33">
        <f t="shared" si="0"/>
        <v>700</v>
      </c>
      <c r="O22" s="33">
        <f t="shared" si="0"/>
        <v>700</v>
      </c>
      <c r="P22" s="33">
        <f t="shared" si="0"/>
        <v>700</v>
      </c>
      <c r="Q22" s="33">
        <f t="shared" si="0"/>
        <v>700</v>
      </c>
      <c r="R22" s="33">
        <f t="shared" si="0"/>
        <v>700</v>
      </c>
      <c r="S22" s="33">
        <f t="shared" si="0"/>
        <v>700</v>
      </c>
      <c r="T22" s="33">
        <f t="shared" si="0"/>
        <v>700</v>
      </c>
      <c r="U22" s="33">
        <f t="shared" si="0"/>
        <v>700</v>
      </c>
      <c r="V22" s="33">
        <f t="shared" si="0"/>
        <v>700</v>
      </c>
      <c r="W22" s="33">
        <f t="shared" si="0"/>
        <v>700</v>
      </c>
      <c r="X22" s="33">
        <f t="shared" si="0"/>
        <v>700</v>
      </c>
      <c r="Y22" s="33">
        <f t="shared" si="0"/>
        <v>700</v>
      </c>
      <c r="Z22" s="33">
        <f t="shared" si="0"/>
        <v>700</v>
      </c>
      <c r="AA22" s="34">
        <f>SUM(C22:Z22)</f>
        <v>16800</v>
      </c>
    </row>
    <row r="23" spans="2:27" x14ac:dyDescent="0.25">
      <c r="B23" s="7" t="s">
        <v>119</v>
      </c>
      <c r="C23" s="33">
        <f>C22</f>
        <v>700</v>
      </c>
      <c r="D23" s="33">
        <f t="shared" ref="D23:Z23" si="1">C23*(1-$C$12)+D22</f>
        <v>1358</v>
      </c>
      <c r="E23" s="33">
        <f t="shared" si="1"/>
        <v>1976.52</v>
      </c>
      <c r="F23" s="33">
        <f t="shared" si="1"/>
        <v>2557.9287999999997</v>
      </c>
      <c r="G23" s="33">
        <f t="shared" si="1"/>
        <v>3104.4530719999993</v>
      </c>
      <c r="H23" s="33">
        <f t="shared" si="1"/>
        <v>3618.1858876799993</v>
      </c>
      <c r="I23" s="33">
        <f t="shared" si="1"/>
        <v>4101.0947344191991</v>
      </c>
      <c r="J23" s="33">
        <f t="shared" si="1"/>
        <v>4555.0290503540473</v>
      </c>
      <c r="K23" s="33">
        <f t="shared" si="1"/>
        <v>4981.7273073328042</v>
      </c>
      <c r="L23" s="33">
        <f t="shared" si="1"/>
        <v>5382.8236688928355</v>
      </c>
      <c r="M23" s="33">
        <f t="shared" si="1"/>
        <v>5759.8542487592649</v>
      </c>
      <c r="N23" s="33">
        <f t="shared" si="1"/>
        <v>6114.2629938337086</v>
      </c>
      <c r="O23" s="33">
        <f t="shared" si="1"/>
        <v>6447.4072142036857</v>
      </c>
      <c r="P23" s="33">
        <f t="shared" si="1"/>
        <v>6760.5627813514639</v>
      </c>
      <c r="Q23" s="33">
        <f t="shared" si="1"/>
        <v>7054.9290144703755</v>
      </c>
      <c r="R23" s="33">
        <f t="shared" si="1"/>
        <v>7331.6332736021523</v>
      </c>
      <c r="S23" s="33">
        <f t="shared" si="1"/>
        <v>7591.7352771860224</v>
      </c>
      <c r="T23" s="33">
        <f t="shared" si="1"/>
        <v>7836.2311605548603</v>
      </c>
      <c r="U23" s="33">
        <f t="shared" si="1"/>
        <v>8066.057290921568</v>
      </c>
      <c r="V23" s="33">
        <f t="shared" si="1"/>
        <v>8282.0938534662746</v>
      </c>
      <c r="W23" s="33">
        <f t="shared" si="1"/>
        <v>8485.1682222582967</v>
      </c>
      <c r="X23" s="33">
        <f t="shared" si="1"/>
        <v>8676.0581289227994</v>
      </c>
      <c r="Y23" s="33">
        <f t="shared" si="1"/>
        <v>8855.4946411874298</v>
      </c>
      <c r="Z23" s="33">
        <f t="shared" si="1"/>
        <v>9024.1649627161842</v>
      </c>
    </row>
    <row r="25" spans="2:27" x14ac:dyDescent="0.25">
      <c r="B25" s="35" t="s">
        <v>120</v>
      </c>
      <c r="C25" s="36">
        <f t="shared" ref="C25:Z25" si="2">C23*$C$8</f>
        <v>139300000</v>
      </c>
      <c r="D25" s="36">
        <f t="shared" si="2"/>
        <v>270242000</v>
      </c>
      <c r="E25" s="36">
        <f t="shared" si="2"/>
        <v>393327480</v>
      </c>
      <c r="F25" s="36">
        <f t="shared" si="2"/>
        <v>509027831.19999993</v>
      </c>
      <c r="G25" s="36">
        <f t="shared" si="2"/>
        <v>617786161.32799983</v>
      </c>
      <c r="H25" s="36">
        <f t="shared" si="2"/>
        <v>720018991.64831984</v>
      </c>
      <c r="I25" s="36">
        <f t="shared" si="2"/>
        <v>816117852.14942062</v>
      </c>
      <c r="J25" s="36">
        <f t="shared" si="2"/>
        <v>906450781.02045536</v>
      </c>
      <c r="K25" s="36">
        <f t="shared" si="2"/>
        <v>991363734.15922809</v>
      </c>
      <c r="L25" s="36">
        <f t="shared" si="2"/>
        <v>1071181910.1096742</v>
      </c>
      <c r="M25" s="36">
        <f t="shared" si="2"/>
        <v>1146210995.5030937</v>
      </c>
      <c r="N25" s="36">
        <f t="shared" si="2"/>
        <v>1216738335.772908</v>
      </c>
      <c r="O25" s="36">
        <f t="shared" si="2"/>
        <v>1283034035.6265335</v>
      </c>
      <c r="P25" s="36">
        <f t="shared" si="2"/>
        <v>1345351993.4889412</v>
      </c>
      <c r="Q25" s="36">
        <f t="shared" si="2"/>
        <v>1403930873.8796048</v>
      </c>
      <c r="R25" s="36">
        <f t="shared" si="2"/>
        <v>1458995021.4468284</v>
      </c>
      <c r="S25" s="36">
        <f t="shared" si="2"/>
        <v>1510755320.1600184</v>
      </c>
      <c r="T25" s="36">
        <f t="shared" si="2"/>
        <v>1559410000.9504173</v>
      </c>
      <c r="U25" s="36">
        <f t="shared" si="2"/>
        <v>1605145400.8933921</v>
      </c>
      <c r="V25" s="36">
        <f t="shared" si="2"/>
        <v>1648136676.8397887</v>
      </c>
      <c r="W25" s="36">
        <f t="shared" si="2"/>
        <v>1688548476.2294011</v>
      </c>
      <c r="X25" s="36">
        <f t="shared" si="2"/>
        <v>1726535567.655637</v>
      </c>
      <c r="Y25" s="36">
        <f t="shared" si="2"/>
        <v>1762243433.5962985</v>
      </c>
      <c r="Z25" s="36">
        <f t="shared" si="2"/>
        <v>1795808827.5805206</v>
      </c>
      <c r="AA25" s="37">
        <f t="shared" ref="AA25:AA30" si="3">SUM(C25:Z25)</f>
        <v>27585661701.23848</v>
      </c>
    </row>
    <row r="26" spans="2:27" x14ac:dyDescent="0.25">
      <c r="B26" s="7" t="s">
        <v>121</v>
      </c>
      <c r="C26" s="33">
        <f t="shared" ref="C26:Z26" si="4">C23*$C$11</f>
        <v>42000000</v>
      </c>
      <c r="D26" s="33">
        <f>D23*$C$11</f>
        <v>81480000</v>
      </c>
      <c r="E26" s="33">
        <f t="shared" si="4"/>
        <v>118591200</v>
      </c>
      <c r="F26" s="33">
        <f t="shared" si="4"/>
        <v>153475727.99999997</v>
      </c>
      <c r="G26" s="33">
        <f t="shared" si="4"/>
        <v>186267184.31999996</v>
      </c>
      <c r="H26" s="33">
        <f t="shared" si="4"/>
        <v>217091153.26079994</v>
      </c>
      <c r="I26" s="33">
        <f t="shared" si="4"/>
        <v>246065684.06515196</v>
      </c>
      <c r="J26" s="33">
        <f t="shared" si="4"/>
        <v>273301743.02124286</v>
      </c>
      <c r="K26" s="33">
        <f t="shared" si="4"/>
        <v>298903638.43996823</v>
      </c>
      <c r="L26" s="33">
        <f t="shared" si="4"/>
        <v>322969420.13357013</v>
      </c>
      <c r="M26" s="33">
        <f t="shared" si="4"/>
        <v>345591254.92555588</v>
      </c>
      <c r="N26" s="33">
        <f t="shared" si="4"/>
        <v>366855779.63002253</v>
      </c>
      <c r="O26" s="33">
        <f t="shared" si="4"/>
        <v>386844432.85222113</v>
      </c>
      <c r="P26" s="33">
        <f t="shared" si="4"/>
        <v>405633766.88108784</v>
      </c>
      <c r="Q26" s="33">
        <f t="shared" si="4"/>
        <v>423295740.86822253</v>
      </c>
      <c r="R26" s="33">
        <f t="shared" si="4"/>
        <v>439897996.41612911</v>
      </c>
      <c r="S26" s="33">
        <f t="shared" si="4"/>
        <v>455504116.63116133</v>
      </c>
      <c r="T26" s="33">
        <f t="shared" si="4"/>
        <v>470173869.6332916</v>
      </c>
      <c r="U26" s="33">
        <f t="shared" si="4"/>
        <v>483963437.45529407</v>
      </c>
      <c r="V26" s="33">
        <f t="shared" si="4"/>
        <v>496925631.20797646</v>
      </c>
      <c r="W26" s="33">
        <f t="shared" si="4"/>
        <v>509110093.3354978</v>
      </c>
      <c r="X26" s="33">
        <f t="shared" si="4"/>
        <v>520563487.73536795</v>
      </c>
      <c r="Y26" s="33">
        <f t="shared" si="4"/>
        <v>531329678.47124577</v>
      </c>
      <c r="Z26" s="33">
        <f t="shared" si="4"/>
        <v>541449897.76297104</v>
      </c>
      <c r="AA26" s="34">
        <f t="shared" si="3"/>
        <v>8317284935.0467777</v>
      </c>
    </row>
    <row r="27" spans="2:27" x14ac:dyDescent="0.25">
      <c r="B27" s="6" t="s">
        <v>122</v>
      </c>
      <c r="C27" s="38">
        <f t="shared" ref="C27:Z27" si="5">C25-C26</f>
        <v>97300000</v>
      </c>
      <c r="D27" s="38">
        <f t="shared" si="5"/>
        <v>188762000</v>
      </c>
      <c r="E27" s="38">
        <f t="shared" si="5"/>
        <v>274736280</v>
      </c>
      <c r="F27" s="38">
        <f t="shared" si="5"/>
        <v>355552103.19999993</v>
      </c>
      <c r="G27" s="38">
        <f t="shared" si="5"/>
        <v>431518977.0079999</v>
      </c>
      <c r="H27" s="38">
        <f t="shared" si="5"/>
        <v>502927838.3875199</v>
      </c>
      <c r="I27" s="38">
        <f t="shared" si="5"/>
        <v>570052168.08426869</v>
      </c>
      <c r="J27" s="38">
        <f t="shared" si="5"/>
        <v>633149037.9992125</v>
      </c>
      <c r="K27" s="38">
        <f t="shared" si="5"/>
        <v>692460095.71925986</v>
      </c>
      <c r="L27" s="38">
        <f t="shared" si="5"/>
        <v>748212489.97610402</v>
      </c>
      <c r="M27" s="38">
        <f t="shared" si="5"/>
        <v>800619740.57753778</v>
      </c>
      <c r="N27" s="38">
        <f t="shared" si="5"/>
        <v>849882556.14288545</v>
      </c>
      <c r="O27" s="38">
        <f t="shared" si="5"/>
        <v>896189602.77431238</v>
      </c>
      <c r="P27" s="38">
        <f t="shared" si="5"/>
        <v>939718226.60785341</v>
      </c>
      <c r="Q27" s="38">
        <f t="shared" si="5"/>
        <v>980635133.01138234</v>
      </c>
      <c r="R27" s="38">
        <f t="shared" si="5"/>
        <v>1019097025.0306993</v>
      </c>
      <c r="S27" s="38">
        <f t="shared" si="5"/>
        <v>1055251203.5288571</v>
      </c>
      <c r="T27" s="38">
        <f t="shared" si="5"/>
        <v>1089236131.3171258</v>
      </c>
      <c r="U27" s="38">
        <f t="shared" si="5"/>
        <v>1121181963.438098</v>
      </c>
      <c r="V27" s="38">
        <f t="shared" si="5"/>
        <v>1151211045.6318121</v>
      </c>
      <c r="W27" s="38">
        <f t="shared" si="5"/>
        <v>1179438382.8939033</v>
      </c>
      <c r="X27" s="38">
        <f t="shared" si="5"/>
        <v>1205972079.920269</v>
      </c>
      <c r="Y27" s="38">
        <f t="shared" si="5"/>
        <v>1230913755.1250527</v>
      </c>
      <c r="Z27" s="38">
        <f t="shared" si="5"/>
        <v>1254358929.8175497</v>
      </c>
      <c r="AA27" s="34">
        <f t="shared" si="3"/>
        <v>19268376766.191704</v>
      </c>
    </row>
    <row r="28" spans="2:27" x14ac:dyDescent="0.25">
      <c r="B28" s="7" t="s">
        <v>123</v>
      </c>
      <c r="C28" s="33">
        <f>C22*$C$13</f>
        <v>245000000</v>
      </c>
      <c r="D28" s="33">
        <f t="shared" ref="D28:Z28" si="6">D22*$C$13</f>
        <v>245000000</v>
      </c>
      <c r="E28" s="33">
        <f t="shared" si="6"/>
        <v>245000000</v>
      </c>
      <c r="F28" s="33">
        <f t="shared" si="6"/>
        <v>245000000</v>
      </c>
      <c r="G28" s="33">
        <f t="shared" si="6"/>
        <v>245000000</v>
      </c>
      <c r="H28" s="33">
        <f t="shared" si="6"/>
        <v>245000000</v>
      </c>
      <c r="I28" s="33">
        <f t="shared" si="6"/>
        <v>245000000</v>
      </c>
      <c r="J28" s="33">
        <f t="shared" si="6"/>
        <v>245000000</v>
      </c>
      <c r="K28" s="33">
        <f t="shared" si="6"/>
        <v>245000000</v>
      </c>
      <c r="L28" s="33">
        <f t="shared" si="6"/>
        <v>245000000</v>
      </c>
      <c r="M28" s="33">
        <f t="shared" si="6"/>
        <v>245000000</v>
      </c>
      <c r="N28" s="33">
        <f t="shared" si="6"/>
        <v>245000000</v>
      </c>
      <c r="O28" s="33">
        <f t="shared" si="6"/>
        <v>245000000</v>
      </c>
      <c r="P28" s="33">
        <f t="shared" si="6"/>
        <v>245000000</v>
      </c>
      <c r="Q28" s="33">
        <f t="shared" si="6"/>
        <v>245000000</v>
      </c>
      <c r="R28" s="33">
        <f t="shared" si="6"/>
        <v>245000000</v>
      </c>
      <c r="S28" s="33">
        <f t="shared" si="6"/>
        <v>245000000</v>
      </c>
      <c r="T28" s="33">
        <f t="shared" si="6"/>
        <v>245000000</v>
      </c>
      <c r="U28" s="33">
        <f t="shared" si="6"/>
        <v>245000000</v>
      </c>
      <c r="V28" s="33">
        <f t="shared" si="6"/>
        <v>245000000</v>
      </c>
      <c r="W28" s="33">
        <f t="shared" si="6"/>
        <v>245000000</v>
      </c>
      <c r="X28" s="33">
        <f t="shared" si="6"/>
        <v>245000000</v>
      </c>
      <c r="Y28" s="33">
        <f t="shared" si="6"/>
        <v>245000000</v>
      </c>
      <c r="Z28" s="33">
        <f t="shared" si="6"/>
        <v>245000000</v>
      </c>
      <c r="AA28" s="34">
        <f t="shared" si="3"/>
        <v>5880000000</v>
      </c>
    </row>
    <row r="29" spans="2:27" x14ac:dyDescent="0.25">
      <c r="B29" s="7" t="s">
        <v>124</v>
      </c>
      <c r="C29" s="33">
        <f>$C$14</f>
        <v>65000000</v>
      </c>
      <c r="D29" s="33">
        <f t="shared" ref="D29:Z29" si="7">$C$14</f>
        <v>65000000</v>
      </c>
      <c r="E29" s="33">
        <f t="shared" si="7"/>
        <v>65000000</v>
      </c>
      <c r="F29" s="33">
        <f t="shared" si="7"/>
        <v>65000000</v>
      </c>
      <c r="G29" s="33">
        <f t="shared" si="7"/>
        <v>65000000</v>
      </c>
      <c r="H29" s="33">
        <f t="shared" si="7"/>
        <v>65000000</v>
      </c>
      <c r="I29" s="33">
        <f t="shared" si="7"/>
        <v>65000000</v>
      </c>
      <c r="J29" s="33">
        <f t="shared" si="7"/>
        <v>65000000</v>
      </c>
      <c r="K29" s="33">
        <f t="shared" si="7"/>
        <v>65000000</v>
      </c>
      <c r="L29" s="33">
        <f t="shared" si="7"/>
        <v>65000000</v>
      </c>
      <c r="M29" s="33">
        <f t="shared" si="7"/>
        <v>65000000</v>
      </c>
      <c r="N29" s="33">
        <f t="shared" si="7"/>
        <v>65000000</v>
      </c>
      <c r="O29" s="33">
        <f t="shared" si="7"/>
        <v>65000000</v>
      </c>
      <c r="P29" s="33">
        <f t="shared" si="7"/>
        <v>65000000</v>
      </c>
      <c r="Q29" s="33">
        <f t="shared" si="7"/>
        <v>65000000</v>
      </c>
      <c r="R29" s="33">
        <f t="shared" si="7"/>
        <v>65000000</v>
      </c>
      <c r="S29" s="33">
        <f t="shared" si="7"/>
        <v>65000000</v>
      </c>
      <c r="T29" s="33">
        <f t="shared" si="7"/>
        <v>65000000</v>
      </c>
      <c r="U29" s="33">
        <f t="shared" si="7"/>
        <v>65000000</v>
      </c>
      <c r="V29" s="33">
        <f t="shared" si="7"/>
        <v>65000000</v>
      </c>
      <c r="W29" s="33">
        <f t="shared" si="7"/>
        <v>65000000</v>
      </c>
      <c r="X29" s="33">
        <f t="shared" si="7"/>
        <v>65000000</v>
      </c>
      <c r="Y29" s="33">
        <f t="shared" si="7"/>
        <v>65000000</v>
      </c>
      <c r="Z29" s="33">
        <f t="shared" si="7"/>
        <v>65000000</v>
      </c>
      <c r="AA29" s="34">
        <f t="shared" si="3"/>
        <v>1560000000</v>
      </c>
    </row>
    <row r="30" spans="2:27" x14ac:dyDescent="0.25">
      <c r="B30" s="14" t="s">
        <v>125</v>
      </c>
      <c r="C30" s="39">
        <f t="shared" ref="C30:Z30" si="8">C27-C28-C29</f>
        <v>-212700000</v>
      </c>
      <c r="D30" s="39">
        <f t="shared" si="8"/>
        <v>-121238000</v>
      </c>
      <c r="E30" s="39">
        <f t="shared" si="8"/>
        <v>-35263720</v>
      </c>
      <c r="F30" s="39">
        <f t="shared" si="8"/>
        <v>45552103.199999928</v>
      </c>
      <c r="G30" s="39">
        <f t="shared" si="8"/>
        <v>121518977.0079999</v>
      </c>
      <c r="H30" s="39">
        <f t="shared" si="8"/>
        <v>192927838.3875199</v>
      </c>
      <c r="I30" s="39">
        <f t="shared" si="8"/>
        <v>260052168.08426869</v>
      </c>
      <c r="J30" s="39">
        <f t="shared" si="8"/>
        <v>323149037.9992125</v>
      </c>
      <c r="K30" s="39">
        <f t="shared" si="8"/>
        <v>382460095.71925986</v>
      </c>
      <c r="L30" s="39">
        <f t="shared" si="8"/>
        <v>438212489.97610402</v>
      </c>
      <c r="M30" s="39">
        <f t="shared" si="8"/>
        <v>490619740.57753778</v>
      </c>
      <c r="N30" s="39">
        <f t="shared" si="8"/>
        <v>539882556.14288545</v>
      </c>
      <c r="O30" s="39">
        <f t="shared" si="8"/>
        <v>586189602.77431238</v>
      </c>
      <c r="P30" s="39">
        <f t="shared" si="8"/>
        <v>629718226.60785341</v>
      </c>
      <c r="Q30" s="39">
        <f t="shared" si="8"/>
        <v>670635133.01138234</v>
      </c>
      <c r="R30" s="39">
        <f t="shared" si="8"/>
        <v>709097025.03069925</v>
      </c>
      <c r="S30" s="39">
        <f t="shared" si="8"/>
        <v>745251203.52885711</v>
      </c>
      <c r="T30" s="39">
        <f t="shared" si="8"/>
        <v>779236131.3171258</v>
      </c>
      <c r="U30" s="39">
        <f t="shared" si="8"/>
        <v>811181963.43809795</v>
      </c>
      <c r="V30" s="39">
        <f t="shared" si="8"/>
        <v>841211045.6318121</v>
      </c>
      <c r="W30" s="39">
        <f t="shared" si="8"/>
        <v>869438382.89390326</v>
      </c>
      <c r="X30" s="39">
        <f t="shared" si="8"/>
        <v>895972079.92026901</v>
      </c>
      <c r="Y30" s="39">
        <f t="shared" si="8"/>
        <v>920913755.12505269</v>
      </c>
      <c r="Z30" s="39">
        <f t="shared" si="8"/>
        <v>944358929.81754971</v>
      </c>
      <c r="AA30" s="40">
        <f t="shared" si="3"/>
        <v>11828376766.191704</v>
      </c>
    </row>
    <row r="32" spans="2:27" x14ac:dyDescent="0.25">
      <c r="B32" s="7" t="s">
        <v>126</v>
      </c>
      <c r="C32" s="33">
        <f>C30-$C$15</f>
        <v>-462700000</v>
      </c>
      <c r="D32" s="33">
        <f t="shared" ref="D32:Z32" si="9">D30</f>
        <v>-121238000</v>
      </c>
      <c r="E32" s="33">
        <f t="shared" si="9"/>
        <v>-35263720</v>
      </c>
      <c r="F32" s="33">
        <f t="shared" si="9"/>
        <v>45552103.199999928</v>
      </c>
      <c r="G32" s="33">
        <f t="shared" si="9"/>
        <v>121518977.0079999</v>
      </c>
      <c r="H32" s="33">
        <f t="shared" si="9"/>
        <v>192927838.3875199</v>
      </c>
      <c r="I32" s="33">
        <f t="shared" si="9"/>
        <v>260052168.08426869</v>
      </c>
      <c r="J32" s="33">
        <f t="shared" si="9"/>
        <v>323149037.9992125</v>
      </c>
      <c r="K32" s="33">
        <f t="shared" si="9"/>
        <v>382460095.71925986</v>
      </c>
      <c r="L32" s="33">
        <f t="shared" si="9"/>
        <v>438212489.97610402</v>
      </c>
      <c r="M32" s="33">
        <f t="shared" si="9"/>
        <v>490619740.57753778</v>
      </c>
      <c r="N32" s="33">
        <f t="shared" si="9"/>
        <v>539882556.14288545</v>
      </c>
      <c r="O32" s="33">
        <f t="shared" si="9"/>
        <v>586189602.77431238</v>
      </c>
      <c r="P32" s="33">
        <f t="shared" si="9"/>
        <v>629718226.60785341</v>
      </c>
      <c r="Q32" s="33">
        <f t="shared" si="9"/>
        <v>670635133.01138234</v>
      </c>
      <c r="R32" s="33">
        <f t="shared" si="9"/>
        <v>709097025.03069925</v>
      </c>
      <c r="S32" s="33">
        <f t="shared" si="9"/>
        <v>745251203.52885711</v>
      </c>
      <c r="T32" s="33">
        <f t="shared" si="9"/>
        <v>779236131.3171258</v>
      </c>
      <c r="U32" s="33">
        <f t="shared" si="9"/>
        <v>811181963.43809795</v>
      </c>
      <c r="V32" s="33">
        <f t="shared" si="9"/>
        <v>841211045.6318121</v>
      </c>
      <c r="W32" s="33">
        <f t="shared" si="9"/>
        <v>869438382.89390326</v>
      </c>
      <c r="X32" s="33">
        <f t="shared" si="9"/>
        <v>895972079.92026901</v>
      </c>
      <c r="Y32" s="33">
        <f t="shared" si="9"/>
        <v>920913755.12505269</v>
      </c>
      <c r="Z32" s="33">
        <f t="shared" si="9"/>
        <v>944358929.81754971</v>
      </c>
      <c r="AA32" s="34">
        <f>SUM(C32:Z32)</f>
        <v>11578376766.191704</v>
      </c>
    </row>
    <row r="33" spans="2:26" x14ac:dyDescent="0.25">
      <c r="B33" s="41" t="s">
        <v>127</v>
      </c>
      <c r="C33" s="42">
        <f>$C$16+C32</f>
        <v>187300000</v>
      </c>
      <c r="D33" s="42">
        <f t="shared" ref="D33:Z33" si="10">C33+D32</f>
        <v>66062000</v>
      </c>
      <c r="E33" s="42">
        <f t="shared" si="10"/>
        <v>30798280</v>
      </c>
      <c r="F33" s="42">
        <f t="shared" si="10"/>
        <v>76350383.199999928</v>
      </c>
      <c r="G33" s="42">
        <f t="shared" si="10"/>
        <v>197869360.20799983</v>
      </c>
      <c r="H33" s="42">
        <f t="shared" si="10"/>
        <v>390797198.59551972</v>
      </c>
      <c r="I33" s="42">
        <f t="shared" si="10"/>
        <v>650849366.67978835</v>
      </c>
      <c r="J33" s="42">
        <f t="shared" si="10"/>
        <v>973998404.67900085</v>
      </c>
      <c r="K33" s="42">
        <f t="shared" si="10"/>
        <v>1356458500.3982606</v>
      </c>
      <c r="L33" s="42">
        <f t="shared" si="10"/>
        <v>1794670990.3743646</v>
      </c>
      <c r="M33" s="42">
        <f t="shared" si="10"/>
        <v>2285290730.9519024</v>
      </c>
      <c r="N33" s="42">
        <f t="shared" si="10"/>
        <v>2825173287.0947876</v>
      </c>
      <c r="O33" s="42">
        <f t="shared" si="10"/>
        <v>3411362889.8691001</v>
      </c>
      <c r="P33" s="42">
        <f t="shared" si="10"/>
        <v>4041081116.4769535</v>
      </c>
      <c r="Q33" s="42">
        <f t="shared" si="10"/>
        <v>4711716249.4883356</v>
      </c>
      <c r="R33" s="42">
        <f t="shared" si="10"/>
        <v>5420813274.5190353</v>
      </c>
      <c r="S33" s="42">
        <f t="shared" si="10"/>
        <v>6166064478.0478926</v>
      </c>
      <c r="T33" s="42">
        <f t="shared" si="10"/>
        <v>6945300609.3650188</v>
      </c>
      <c r="U33" s="42">
        <f t="shared" si="10"/>
        <v>7756482572.8031168</v>
      </c>
      <c r="V33" s="42">
        <f t="shared" si="10"/>
        <v>8597693618.4349289</v>
      </c>
      <c r="W33" s="42">
        <f t="shared" si="10"/>
        <v>9467132001.3288326</v>
      </c>
      <c r="X33" s="42">
        <f t="shared" si="10"/>
        <v>10363104081.249102</v>
      </c>
      <c r="Y33" s="42">
        <f t="shared" si="10"/>
        <v>11284017836.374155</v>
      </c>
      <c r="Z33" s="42">
        <f t="shared" si="10"/>
        <v>12228376766.191704</v>
      </c>
    </row>
    <row r="36" spans="2:26" x14ac:dyDescent="0.25">
      <c r="B36" s="49" t="s">
        <v>128</v>
      </c>
      <c r="C36" s="49"/>
      <c r="D36" s="49"/>
      <c r="E36" s="49"/>
      <c r="F36" s="49"/>
      <c r="G36" s="49"/>
      <c r="H36" s="49"/>
      <c r="I36" s="49"/>
      <c r="J36" s="49"/>
    </row>
    <row r="37" spans="2:26" x14ac:dyDescent="0.25">
      <c r="B37" s="6" t="s">
        <v>129</v>
      </c>
      <c r="C37" s="43">
        <f>(NPV($C$17,D32:Z32)+C32)/1000000</f>
        <v>8522.7846706813179</v>
      </c>
      <c r="D37" s="25" t="str">
        <f>"(target: &gt; 0)"</f>
        <v>(target: &gt; 0)</v>
      </c>
    </row>
    <row r="38" spans="2:26" x14ac:dyDescent="0.25">
      <c r="B38" s="6" t="s">
        <v>130</v>
      </c>
      <c r="C38" s="44">
        <f>IFERROR((1+IRR(C32:Z32))^12-1,0)</f>
        <v>18.115428268089779</v>
      </c>
      <c r="D38" s="25" t="str">
        <f>"(target: &gt; "&amp;TEXT(CHOOSE($C$6,'1. Assumptions'!C35,'1. Assumptions'!D35,'1. Assumptions'!E35),"0.0%")&amp;")"</f>
        <v>(target: &gt; 25.0%)</v>
      </c>
    </row>
    <row r="39" spans="2:26" x14ac:dyDescent="0.25">
      <c r="B39" s="6" t="s">
        <v>131</v>
      </c>
      <c r="C39" s="45">
        <f>IFERROR(MATCH(TRUE(),INDEX(C41:Z41&gt;=0,0),0),"&gt; 24")</f>
        <v>7</v>
      </c>
      <c r="D39" s="25" t="str">
        <f>"(target: &lt; 24)"</f>
        <v>(target: &lt; 24)</v>
      </c>
    </row>
    <row r="40" spans="2:26" x14ac:dyDescent="0.25">
      <c r="B40" s="6" t="s">
        <v>132</v>
      </c>
      <c r="C40" s="45" t="str">
        <f>IFERROR(MATCH(TRUE(),INDEX(C33:Z33&lt;0,0),0)-1,"&gt;= 24")</f>
        <v>&gt;= 24</v>
      </c>
      <c r="D40" s="25" t="str">
        <f>"(target: &gt;= 12)"</f>
        <v>(target: &gt;= 12)</v>
      </c>
    </row>
    <row r="41" spans="2:26" x14ac:dyDescent="0.25">
      <c r="B41" s="46" t="s">
        <v>133</v>
      </c>
      <c r="C41" s="47">
        <f>C32</f>
        <v>-462700000</v>
      </c>
      <c r="D41" s="47">
        <f t="shared" ref="D41:Z41" si="11">C41+D32</f>
        <v>-583938000</v>
      </c>
      <c r="E41" s="47">
        <f t="shared" si="11"/>
        <v>-619201720</v>
      </c>
      <c r="F41" s="47">
        <f t="shared" si="11"/>
        <v>-573649616.80000007</v>
      </c>
      <c r="G41" s="47">
        <f t="shared" si="11"/>
        <v>-452130639.79200017</v>
      </c>
      <c r="H41" s="47">
        <f t="shared" si="11"/>
        <v>-259202801.40448028</v>
      </c>
      <c r="I41" s="47">
        <f t="shared" si="11"/>
        <v>849366.67978841066</v>
      </c>
      <c r="J41" s="47">
        <f t="shared" si="11"/>
        <v>323998404.67900091</v>
      </c>
      <c r="K41" s="47">
        <f t="shared" si="11"/>
        <v>706458500.39826083</v>
      </c>
      <c r="L41" s="47">
        <f t="shared" si="11"/>
        <v>1144670990.3743649</v>
      </c>
      <c r="M41" s="47">
        <f t="shared" si="11"/>
        <v>1635290730.9519026</v>
      </c>
      <c r="N41" s="47">
        <f t="shared" si="11"/>
        <v>2175173287.0947881</v>
      </c>
      <c r="O41" s="47">
        <f t="shared" si="11"/>
        <v>2761362889.8691006</v>
      </c>
      <c r="P41" s="47">
        <f t="shared" si="11"/>
        <v>3391081116.476954</v>
      </c>
      <c r="Q41" s="47">
        <f t="shared" si="11"/>
        <v>4061716249.4883366</v>
      </c>
      <c r="R41" s="47">
        <f t="shared" si="11"/>
        <v>4770813274.5190353</v>
      </c>
      <c r="S41" s="47">
        <f t="shared" si="11"/>
        <v>5516064478.0478926</v>
      </c>
      <c r="T41" s="47">
        <f t="shared" si="11"/>
        <v>6295300609.3650188</v>
      </c>
      <c r="U41" s="47">
        <f t="shared" si="11"/>
        <v>7106482572.8031168</v>
      </c>
      <c r="V41" s="47">
        <f t="shared" si="11"/>
        <v>7947693618.4349289</v>
      </c>
      <c r="W41" s="47">
        <f t="shared" si="11"/>
        <v>8817132001.3288326</v>
      </c>
      <c r="X41" s="47">
        <f t="shared" si="11"/>
        <v>9713104081.2491016</v>
      </c>
      <c r="Y41" s="47">
        <f t="shared" si="11"/>
        <v>10634017836.374155</v>
      </c>
      <c r="Z41" s="47">
        <f t="shared" si="11"/>
        <v>11578376766.191704</v>
      </c>
    </row>
    <row r="43" spans="2:26" x14ac:dyDescent="0.25">
      <c r="B43" s="49" t="s">
        <v>134</v>
      </c>
      <c r="C43" s="49"/>
      <c r="D43" s="49"/>
      <c r="E43" s="49"/>
      <c r="F43" s="49"/>
      <c r="G43" s="49"/>
      <c r="H43" s="49"/>
      <c r="I43" s="49"/>
      <c r="J43" s="49"/>
    </row>
    <row r="44" spans="2:26" ht="15.75" x14ac:dyDescent="0.25">
      <c r="B44" s="6" t="s">
        <v>135</v>
      </c>
      <c r="C44" s="52" t="str">
        <f>IF(AND(C37&gt;0,C38&gt;CHOOSE($C$6,'1. Assumptions'!C35,'1. Assumptions'!D35,'1. Assumptions'!E35)),"✓ GO — NPV+ và IRR &gt; WACC",IF(C37&lt;0,"✗ NO-GO — NPV âm: dự án không tạo giá trị","⚠ HOLD — IRR thấp hơn kỳ vọng, cần điều chỉnh"))</f>
        <v>✓ GO — NPV+ và IRR &gt; WACC</v>
      </c>
      <c r="D44" s="52"/>
      <c r="E44" s="52"/>
      <c r="F44" s="52"/>
      <c r="G44" s="52"/>
      <c r="H44" s="52"/>
      <c r="I44" s="52"/>
      <c r="J44" s="52"/>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Khánh Nguyễn Bá</cp:lastModifiedBy>
  <cp:revision>0</cp:revision>
  <dcterms:created xsi:type="dcterms:W3CDTF">2026-05-03T14:07:25Z</dcterms:created>
  <dcterms:modified xsi:type="dcterms:W3CDTF">2026-05-04T05:52:22Z</dcterms:modified>
  <dc:language>en-US</dc:language>
</cp:coreProperties>
</file>